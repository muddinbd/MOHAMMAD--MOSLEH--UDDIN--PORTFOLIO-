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DDIN MOSLEH\Downloads\GITHUB 2026\"/>
    </mc:Choice>
  </mc:AlternateContent>
  <xr:revisionPtr revIDLastSave="0" documentId="13_ncr:1_{4BF39B74-7F4F-4E79-879E-304149BFB74F}" xr6:coauthVersionLast="47" xr6:coauthVersionMax="47" xr10:uidLastSave="{00000000-0000-0000-0000-000000000000}"/>
  <bookViews>
    <workbookView xWindow="50" yWindow="0" windowWidth="19080" windowHeight="11280" firstSheet="1" activeTab="3" xr2:uid="{B9C9867F-9F08-4438-A4DE-65B73E8411F6}"/>
  </bookViews>
  <sheets>
    <sheet name="Front Pages at a glance " sheetId="3" r:id="rId1"/>
    <sheet name="Excel Financial Analysis Portfo" sheetId="1" r:id="rId2"/>
    <sheet name="Certificates " sheetId="2" r:id="rId3"/>
    <sheet name="Professional Cover" sheetId="7"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7" i="1" l="1"/>
  <c r="F29" i="1"/>
  <c r="D29" i="1"/>
  <c r="C29" i="1"/>
  <c r="B29" i="1"/>
  <c r="F28" i="1"/>
  <c r="E28" i="1"/>
  <c r="C28" i="1"/>
  <c r="B28" i="1"/>
  <c r="F27" i="1"/>
  <c r="E27" i="1"/>
  <c r="D27" i="1"/>
  <c r="C27" i="1"/>
  <c r="B27" i="1"/>
  <c r="F26" i="1"/>
  <c r="E26" i="1"/>
  <c r="D26" i="1"/>
  <c r="C26" i="1"/>
  <c r="B26" i="1"/>
  <c r="F25" i="1"/>
  <c r="D25" i="1"/>
  <c r="C25" i="1"/>
  <c r="B25" i="1"/>
  <c r="F11" i="1"/>
  <c r="G11" i="1" s="1"/>
  <c r="E11" i="1"/>
  <c r="D11" i="1"/>
  <c r="C11" i="1"/>
  <c r="B11" i="1"/>
  <c r="F10" i="1"/>
  <c r="G10" i="1" s="1"/>
  <c r="E10" i="1"/>
  <c r="D10" i="1"/>
  <c r="C10" i="1"/>
  <c r="B10" i="1"/>
  <c r="F9" i="1"/>
  <c r="G9" i="1" s="1"/>
  <c r="E9" i="1"/>
  <c r="D9" i="1"/>
  <c r="C9" i="1"/>
  <c r="B9" i="1"/>
  <c r="F8" i="1"/>
  <c r="G8" i="1" s="1"/>
  <c r="E8" i="1"/>
  <c r="D8" i="1"/>
  <c r="C8" i="1"/>
  <c r="B8" i="1"/>
  <c r="F7" i="1"/>
  <c r="G7" i="1" s="1"/>
  <c r="G18" i="1" s="1"/>
  <c r="E7" i="1"/>
  <c r="D7" i="1"/>
  <c r="C7" i="1"/>
  <c r="B7" i="1"/>
  <c r="E12" i="1" l="1"/>
  <c r="A18" i="1" s="1"/>
  <c r="D30" i="1"/>
  <c r="F30" i="1"/>
  <c r="E30" i="1"/>
  <c r="B12" i="1"/>
  <c r="B30" i="1"/>
  <c r="C12" i="1"/>
  <c r="D12" i="1"/>
  <c r="E18" i="1" s="1"/>
  <c r="C30" i="1"/>
  <c r="E8" i="3"/>
  <c r="G12" i="1"/>
  <c r="F12" i="1"/>
  <c r="C18" i="1" l="1"/>
  <c r="B8" i="3"/>
</calcChain>
</file>

<file path=xl/sharedStrings.xml><?xml version="1.0" encoding="utf-8"?>
<sst xmlns="http://schemas.openxmlformats.org/spreadsheetml/2006/main" count="171" uniqueCount="143">
  <si>
    <t>Treasury Reconciliation Report - May 2026</t>
  </si>
  <si>
    <t>Country</t>
  </si>
  <si>
    <t>Opening Balance (XOF)</t>
  </si>
  <si>
    <t>Total Inflows (XOF)</t>
  </si>
  <si>
    <t>Total Disbursements (XOF)</t>
  </si>
  <si>
    <t>Closing Balance (XOF)</t>
  </si>
  <si>
    <t>Variance</t>
  </si>
  <si>
    <t>Status</t>
  </si>
  <si>
    <t>Region A</t>
  </si>
  <si>
    <t>Region B</t>
  </si>
  <si>
    <t>Region C</t>
  </si>
  <si>
    <t>Region D</t>
  </si>
  <si>
    <t>Region E</t>
  </si>
  <si>
    <t>REGIONAL TOTAL</t>
  </si>
  <si>
    <t>SECTION 3: PAYMENT CHANNEL BREAKDOWN BY COUNTRY</t>
  </si>
  <si>
    <t>Bank Accounts</t>
  </si>
  <si>
    <t>Orange Money</t>
  </si>
  <si>
    <t>Wave Money</t>
  </si>
  <si>
    <t>Moov Money</t>
  </si>
  <si>
    <t>Branch/Cash</t>
  </si>
  <si>
    <t>SECTION 4: ANALYSIS SKILLS DEMONSTRATED</t>
  </si>
  <si>
    <t>Skill Category</t>
  </si>
  <si>
    <t>Demonstrated Competency</t>
  </si>
  <si>
    <t>Financial Reconciliation</t>
  </si>
  <si>
    <t>Multi-region balance verification with variance analysis</t>
  </si>
  <si>
    <t>Data Consolidation</t>
  </si>
  <si>
    <t>Aggregating data from 5 regional reports into unified view</t>
  </si>
  <si>
    <t>Cross-Reference Formulas</t>
  </si>
  <si>
    <t>Dynamic formulas linking to source sheets for live updates</t>
  </si>
  <si>
    <t>Payment Channel Analysis</t>
  </si>
  <si>
    <t>Breakdown of bank, mobile money, and cash channels</t>
  </si>
  <si>
    <t>Variance Detection</t>
  </si>
  <si>
    <t>Automated status flags for reconciliation discrepancies</t>
  </si>
  <si>
    <t>Regional Reporting</t>
  </si>
  <si>
    <t>Treasury oversight across multiple operating regions</t>
  </si>
  <si>
    <t>PREPARED BY:</t>
  </si>
  <si>
    <t>WORKBOOK CONTENTS:</t>
  </si>
  <si>
    <t>- Region A Financial Report</t>
  </si>
  <si>
    <t>Financial Analyst</t>
  </si>
  <si>
    <t>- Region B Financial Report</t>
  </si>
  <si>
    <t>- Region C Financial Report</t>
  </si>
  <si>
    <t>- Region D Financial Report</t>
  </si>
  <si>
    <t>- Region E Financial Report</t>
  </si>
  <si>
    <t xml:space="preserve">MOHAMAMD MOSLEH UDDIN </t>
  </si>
  <si>
    <t xml:space="preserve">SECTION 1: COUNTRY PORTFOLIO SUMMARY </t>
  </si>
  <si>
    <t>SECTION 2: KEY PERFORMANCE</t>
  </si>
  <si>
    <t>Total Regional Liquidity                                                                     XOF</t>
  </si>
  <si>
    <t>Total May Inflows                   XOF</t>
  </si>
  <si>
    <t>Total Disbursements        XOF</t>
  </si>
  <si>
    <t>Reconciliation Rate       5 Countries</t>
  </si>
  <si>
    <t>Certifications &amp; Professional Development</t>
  </si>
  <si>
    <t>Certification</t>
  </si>
  <si>
    <t>Issuing Body</t>
  </si>
  <si>
    <t>Category</t>
  </si>
  <si>
    <t>Renewal</t>
  </si>
  <si>
    <t>Relevance</t>
  </si>
  <si>
    <t>Anti-Money Laundering (AML) Policy</t>
  </si>
  <si>
    <t>ACAMS / Internal</t>
  </si>
  <si>
    <t>Compliance</t>
  </si>
  <si>
    <t>Annual</t>
  </si>
  <si>
    <t>Current</t>
  </si>
  <si>
    <t>MSB, Fintech, Banking</t>
  </si>
  <si>
    <t>Bank Secrecy Act (BSA)</t>
  </si>
  <si>
    <t>FinCEN / Internal</t>
  </si>
  <si>
    <t>US-regulated operations</t>
  </si>
  <si>
    <t>USA PATRIOT Act Compliance</t>
  </si>
  <si>
    <t>Internal / Training</t>
  </si>
  <si>
    <t>AML, cross-border payments</t>
  </si>
  <si>
    <t>OFAC Compliance &amp; Sanctions Screening</t>
  </si>
  <si>
    <t>OFAC / Internal</t>
  </si>
  <si>
    <t>International transfers</t>
  </si>
  <si>
    <t>Suspicious Activity Reporting (SAR)</t>
  </si>
  <si>
    <t>AML, fraud prevention</t>
  </si>
  <si>
    <t>Education</t>
  </si>
  <si>
    <t>Master of Arts (M.A.) — Bangla Literature</t>
  </si>
  <si>
    <t>University of Chittagong, Bangladesh</t>
  </si>
  <si>
    <t>2018</t>
  </si>
  <si>
    <t>Completed</t>
  </si>
  <si>
    <t>Research, Analysis, Communication</t>
  </si>
  <si>
    <t>Bachelor of Arts (B.A.) — Bangla Literature</t>
  </si>
  <si>
    <t>2016</t>
  </si>
  <si>
    <t>Written Communication, Detail Orientation</t>
  </si>
  <si>
    <t>Languages</t>
  </si>
  <si>
    <t>English</t>
  </si>
  <si>
    <t>Fluent</t>
  </si>
  <si>
    <t>Professional</t>
  </si>
  <si>
    <t>French</t>
  </si>
  <si>
    <t>Working Proficiency</t>
  </si>
  <si>
    <t>Business conversations, West Africa</t>
  </si>
  <si>
    <t>Bengali</t>
  </si>
  <si>
    <t>Native</t>
  </si>
  <si>
    <t>First language</t>
  </si>
  <si>
    <t>Reconciliation Accuracy</t>
  </si>
  <si>
    <t>5 Regions</t>
  </si>
  <si>
    <t>4+ Years</t>
  </si>
  <si>
    <t>Treasury Experience</t>
  </si>
  <si>
    <t>MOHAMMAD MOSLEH UDDIN</t>
  </si>
  <si>
    <t>Dear Hiring Manager,</t>
  </si>
  <si>
    <t>Thank you for taking the time to review my portfolio. I understand how many applications cross your desk, and I genuinely appreciate your consideration. This portfolio represents not just my skills, but my commitment to excellence in financial operations.</t>
  </si>
  <si>
    <t>MY COMMITMENT</t>
  </si>
  <si>
    <t>A PERSONAL NOTE</t>
  </si>
  <si>
    <t>I would welcome the opportunity to discuss how my experience aligns with your team's needs. Please feel free to reach out — I am happy to answer any questions or provide additional documentation.</t>
  </si>
  <si>
    <t>"Results speak louder than resumes."</t>
  </si>
  <si>
    <t>━━━━━━━━━━━━━━━━━━━━━━━━━━━━━━━━━━━━━━━━━━━━━━━━━━━━</t>
  </si>
  <si>
    <t>I believe in demonstrating capability through results, not words. This portfolio contains live transaction data, actual reconciliation reports, and real projects I have delivered. I approach every task with the understanding that accuracy matters — because in finance, details protect people and businesses.</t>
  </si>
  <si>
    <t>PORTFOLIO CONTENTS</t>
  </si>
  <si>
    <t>1.  Treasury Reconciliation Report — Complete May 2026 regional analysis with variance tracking</t>
  </si>
  <si>
    <t>2.  Payment Channel Analysis — Bank, mobile money, and cash channel performance breakdown</t>
  </si>
  <si>
    <t>3.  Skills Matrix — Technical competencies with real-world application examples</t>
  </si>
  <si>
    <t>4.  Compliance Certifications — AML, BSA, OFAC, SAR, and USA PATRIOT Act credentials</t>
  </si>
  <si>
    <t>I understand that hiring is a significant decision. You are not just filling a position — you are trusting someone to handle sensitive financial data, meet critical deadlines, and represent your organisation's standards. I take that responsibility seriously. If given the opportunity, I will bring the same diligence to your team that I have demonstrated throughout my career.</t>
  </si>
  <si>
    <t>AT A GLANCE</t>
  </si>
  <si>
    <t>─────────────────────────────────────────────────────────────────────────────────────────</t>
  </si>
  <si>
    <t>4+ Years Experience     |     5 Regions (West Africa)     |     100% Reconciliation     |     2.17B XOF Managed</t>
  </si>
  <si>
    <t>Contact details available upon request  ·  Portfolio prepared June 2026</t>
  </si>
  <si>
    <t>5 Channels</t>
  </si>
  <si>
    <t>Treasury Operations  •  Financial Reporting  •  AML/KYC Compliance</t>
  </si>
  <si>
    <t>━━━━━━━━━━━━━━━━━━━━━━━━━━━━━━━━━━━━━━━━━━━━━━━━━━━━━━━━━━━━━━</t>
  </si>
  <si>
    <t>At a Glance — May 2026</t>
  </si>
  <si>
    <t>Total Inflows Managed</t>
  </si>
  <si>
    <t>Closing Liquidity Position</t>
  </si>
  <si>
    <t>West Africa Coverage</t>
  </si>
  <si>
    <t>Bank &amp; Mobile Money</t>
  </si>
  <si>
    <t>─────────────────────────────────────────────────────────────────────</t>
  </si>
  <si>
    <t>What You'll Find Inside</t>
  </si>
  <si>
    <t>▸  Treasury Analysis</t>
  </si>
  <si>
    <t>Regional reconciliation report with live variance tracking</t>
  </si>
  <si>
    <t>▸  Payment Channels</t>
  </si>
  <si>
    <t>Bank, mobile money, and cash flow breakdown by region</t>
  </si>
  <si>
    <t>Technical competencies demonstrated through real projects</t>
  </si>
  <si>
    <t>▸  Certifications</t>
  </si>
  <si>
    <t>AML, BSA, OFAC, and compliance credentials</t>
  </si>
  <si>
    <t xml:space="preserve">▸  Skills </t>
  </si>
  <si>
    <t>Thank you for taking the time to review my work. This portfolio represents real transactions, real deadlines, and real accountability — 
not theoretical exercises. I believe results speak louder than resumes, and I welcome the opportunity to discuss any of these projects with you.</t>
  </si>
  <si>
    <t xml:space="preserve">                                                                                   WEST AFRICA REGIONAL FINANCIAL PORTFOLIO</t>
  </si>
  <si>
    <t xml:space="preserve"> TOTALS</t>
  </si>
  <si>
    <t>My professional journey began under the mentorship of Mr. Anowar Hossain, CPA, where I developed a strong foundation in financial discipline and accountability at an early stage of my career. That curiosity evolved into a 6+ year career managing end-to-end monthly financial cycles for West African fintech operations. Every month, I take ownership of the complete XOF accounting cycle — from opening balances through transaction processing, multi-account reconciliation, to final month-end closing. I've consistently managed over 2 billion XOF in monthly flows, but what truly drives me is knowing that behind every transaction is a family-supporting remittance, business growth, or a community achieving economic growth. I don't just close books — I ensure that every franc is managed with purpose, discipline, and trust.</t>
  </si>
  <si>
    <t xml:space="preserve">WHO I AM TODAY </t>
  </si>
  <si>
    <t>In Senegal, I've watched a grandmother receive her first mobile money transfer from her son working abroad. 
I've seen small traders grow their businesses because they could finally accept digital payments. 
Fintech isn't only technology—it's financial inclusion, it's opportunity to support family and community ,
 it's hope. I want to be part of organisations building this future. My treasury expertise ensures stability;
my passion for innovation drives growth.Together, they create impact.</t>
  </si>
  <si>
    <t xml:space="preserve">Why fintech </t>
  </si>
  <si>
    <t>Mohammad Mosleh Uddin, Treasury and VP</t>
  </si>
  <si>
    <t xml:space="preserve">Sincerely, </t>
  </si>
  <si>
    <t xml:space="preserve">Treasury Operations  •  Financial Reporting  •  AML/KYC/CFT Compliance  •  Remitance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</si>
</sst>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b/>
      <sz val="11"/>
      <color theme="1"/>
      <name val="Aptos Narrow"/>
      <family val="2"/>
      <scheme val="minor"/>
    </font>
    <font>
      <i/>
      <sz val="12"/>
      <color rgb="FF444444"/>
      <name val="Aptos Narrow"/>
      <family val="2"/>
      <scheme val="minor"/>
    </font>
    <font>
      <b/>
      <sz val="12"/>
      <color rgb="FF000000"/>
      <name val="Aptos Narrow"/>
      <family val="2"/>
      <scheme val="minor"/>
    </font>
    <font>
      <b/>
      <sz val="11"/>
      <color rgb="FF000000"/>
      <name val="Aptos Narrow"/>
      <family val="2"/>
      <scheme val="minor"/>
    </font>
    <font>
      <b/>
      <sz val="14"/>
      <color rgb="FF000000"/>
      <name val="Aptos Narrow"/>
      <family val="2"/>
      <scheme val="minor"/>
    </font>
    <font>
      <sz val="11"/>
      <color rgb="FF000000"/>
      <name val="Aptos Narrow"/>
      <family val="2"/>
      <scheme val="minor"/>
    </font>
    <font>
      <sz val="10"/>
      <color rgb="FF000000"/>
      <name val="Aptos Narrow"/>
      <family val="2"/>
      <scheme val="minor"/>
    </font>
    <font>
      <i/>
      <sz val="11"/>
      <color rgb="FF000000"/>
      <name val="Aptos Narrow"/>
      <family val="2"/>
      <scheme val="minor"/>
    </font>
    <font>
      <b/>
      <sz val="28"/>
      <color theme="1"/>
      <name val="Bookman Old Style"/>
      <family val="1"/>
    </font>
    <font>
      <b/>
      <sz val="11"/>
      <color rgb="FF1F4E79"/>
      <name val="Aptos Narrow"/>
      <family val="2"/>
      <scheme val="minor"/>
    </font>
    <font>
      <b/>
      <sz val="20"/>
      <color rgb="FF1F4E79"/>
      <name val="Aptos Narrow"/>
      <family val="2"/>
      <scheme val="minor"/>
    </font>
    <font>
      <b/>
      <sz val="10"/>
      <color rgb="FF1F4E79"/>
      <name val="Aptos Narrow"/>
      <family val="2"/>
      <scheme val="minor"/>
    </font>
    <font>
      <i/>
      <sz val="12"/>
      <color theme="1"/>
      <name val="Aptos Narrow"/>
      <family val="2"/>
      <scheme val="minor"/>
    </font>
    <font>
      <sz val="13"/>
      <color theme="1"/>
      <name val="Aptos Narrow"/>
      <family val="2"/>
      <scheme val="minor"/>
    </font>
    <font>
      <b/>
      <sz val="13"/>
      <color rgb="FF1F4E79"/>
      <name val="Aptos Narrow"/>
      <family val="2"/>
      <scheme val="minor"/>
    </font>
    <font>
      <sz val="13"/>
      <color rgb="FF000000"/>
      <name val="Aptos Narrow"/>
      <family val="2"/>
      <scheme val="minor"/>
    </font>
    <font>
      <sz val="13"/>
      <color rgb="FFBFBFBF"/>
      <name val="Aptos Narrow"/>
      <family val="2"/>
      <scheme val="minor"/>
    </font>
    <font>
      <b/>
      <sz val="13"/>
      <color rgb="FF000000"/>
      <name val="Aptos Narrow"/>
      <family val="2"/>
      <scheme val="minor"/>
    </font>
    <font>
      <b/>
      <sz val="13"/>
      <color rgb="FFBFBFBF"/>
      <name val="Aptos Narrow"/>
      <family val="2"/>
      <scheme val="minor"/>
    </font>
    <font>
      <sz val="13"/>
      <color rgb="FF999999"/>
      <name val="Aptos Narrow"/>
      <family val="2"/>
      <scheme val="minor"/>
    </font>
    <font>
      <sz val="10"/>
      <color theme="1"/>
      <name val="Aptos Narrow"/>
      <family val="2"/>
      <scheme val="minor"/>
    </font>
    <font>
      <sz val="11"/>
      <color rgb="FF666666"/>
      <name val="Aptos Narrow"/>
      <family val="2"/>
      <scheme val="minor"/>
    </font>
    <font>
      <i/>
      <sz val="11"/>
      <color rgb="FF404040"/>
      <name val="Aptos Narrow"/>
      <family val="2"/>
      <scheme val="minor"/>
    </font>
    <font>
      <sz val="12"/>
      <color rgb="FF000000"/>
      <name val="Aptos Narrow"/>
      <family val="2"/>
      <scheme val="minor"/>
    </font>
    <font>
      <b/>
      <sz val="10"/>
      <color rgb="FF000000"/>
      <name val="Aptos Narrow"/>
      <family val="2"/>
      <scheme val="minor"/>
    </font>
    <font>
      <sz val="14"/>
      <color theme="1"/>
      <name val="Aptos Narrow"/>
      <family val="2"/>
      <scheme val="minor"/>
    </font>
    <font>
      <i/>
      <sz val="10"/>
      <color theme="1"/>
      <name val="Aptos Narrow"/>
      <family val="2"/>
      <scheme val="minor"/>
    </font>
    <font>
      <b/>
      <sz val="10"/>
      <color theme="1"/>
      <name val="Aptos Narrow"/>
      <family val="2"/>
      <scheme val="minor"/>
    </font>
    <font>
      <i/>
      <sz val="10"/>
      <color rgb="FF000000"/>
      <name val="Calibri"/>
      <family val="2"/>
    </font>
    <font>
      <b/>
      <u/>
      <sz val="11.5"/>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right/>
      <top/>
      <bottom style="thin">
        <color indexed="64"/>
      </bottom>
      <diagonal/>
    </border>
    <border>
      <left/>
      <right/>
      <top/>
      <bottom style="double">
        <color indexed="64"/>
      </bottom>
      <diagonal/>
    </border>
  </borders>
  <cellStyleXfs count="1">
    <xf numFmtId="0" fontId="0" fillId="0" borderId="0"/>
  </cellStyleXfs>
  <cellXfs count="69">
    <xf numFmtId="0" fontId="0" fillId="0" borderId="0" xfId="0"/>
    <xf numFmtId="0" fontId="3" fillId="0" borderId="0" xfId="0" applyFont="1"/>
    <xf numFmtId="0" fontId="4" fillId="0" borderId="1" xfId="0" applyFont="1" applyBorder="1" applyAlignment="1">
      <alignment horizontal="center"/>
    </xf>
    <xf numFmtId="0" fontId="0" fillId="0" borderId="1" xfId="0" applyBorder="1"/>
    <xf numFmtId="4" fontId="0" fillId="0" borderId="1" xfId="0" applyNumberFormat="1" applyBorder="1"/>
    <xf numFmtId="0" fontId="0" fillId="0" borderId="1" xfId="0" applyBorder="1" applyAlignment="1">
      <alignment horizontal="center"/>
    </xf>
    <xf numFmtId="0" fontId="1" fillId="0" borderId="1" xfId="0" applyFont="1" applyBorder="1"/>
    <xf numFmtId="4" fontId="1" fillId="0" borderId="1" xfId="0" applyNumberFormat="1" applyFont="1" applyBorder="1"/>
    <xf numFmtId="0" fontId="6" fillId="0" borderId="2" xfId="0" applyFont="1" applyBorder="1"/>
    <xf numFmtId="3" fontId="0" fillId="0" borderId="1" xfId="0" applyNumberFormat="1" applyBorder="1"/>
    <xf numFmtId="3" fontId="1" fillId="0" borderId="1" xfId="0" applyNumberFormat="1" applyFont="1" applyBorder="1"/>
    <xf numFmtId="0" fontId="4" fillId="0" borderId="1" xfId="0" applyFont="1" applyBorder="1"/>
    <xf numFmtId="0" fontId="6" fillId="0" borderId="1" xfId="0" applyFont="1" applyBorder="1"/>
    <xf numFmtId="0" fontId="1" fillId="0" borderId="0" xfId="0" applyFont="1"/>
    <xf numFmtId="0" fontId="6" fillId="0" borderId="0" xfId="0" applyFont="1"/>
    <xf numFmtId="0" fontId="7" fillId="0" borderId="0" xfId="0" applyFont="1"/>
    <xf numFmtId="0" fontId="8" fillId="0" borderId="0" xfId="0" applyFont="1"/>
    <xf numFmtId="0" fontId="4" fillId="0" borderId="0" xfId="0" applyFont="1"/>
    <xf numFmtId="3" fontId="5" fillId="0" borderId="0" xfId="0" applyNumberFormat="1" applyFont="1"/>
    <xf numFmtId="0" fontId="4" fillId="0" borderId="3" xfId="0" applyFont="1" applyBorder="1"/>
    <xf numFmtId="0" fontId="0" fillId="0" borderId="3" xfId="0" applyBorder="1"/>
    <xf numFmtId="9" fontId="5" fillId="0" borderId="0" xfId="0" applyNumberFormat="1" applyFont="1"/>
    <xf numFmtId="0" fontId="4" fillId="0" borderId="2" xfId="0" applyFont="1" applyBorder="1"/>
    <xf numFmtId="0" fontId="4" fillId="0" borderId="4" xfId="0" applyFont="1" applyBorder="1"/>
    <xf numFmtId="0" fontId="0" fillId="0" borderId="0" xfId="0" applyAlignment="1">
      <alignment horizontal="center"/>
    </xf>
    <xf numFmtId="0" fontId="9" fillId="0" borderId="0" xfId="0" applyFont="1" applyAlignment="1">
      <alignment horizontal="center"/>
    </xf>
    <xf numFmtId="0" fontId="0" fillId="0" borderId="0" xfId="0" applyAlignment="1">
      <alignment horizontal="right" indent="1"/>
    </xf>
    <xf numFmtId="0" fontId="13" fillId="0" borderId="0" xfId="0" applyFont="1" applyAlignment="1">
      <alignment horizontal="center"/>
    </xf>
    <xf numFmtId="0" fontId="2" fillId="0" borderId="0" xfId="0" applyFont="1" applyAlignment="1">
      <alignment horizontal="center"/>
    </xf>
    <xf numFmtId="0" fontId="0" fillId="0" borderId="0" xfId="0"/>
    <xf numFmtId="0" fontId="11" fillId="0" borderId="0" xfId="0" applyFont="1" applyAlignment="1">
      <alignment horizontal="center"/>
    </xf>
    <xf numFmtId="0" fontId="12" fillId="0" borderId="0" xfId="0" applyFont="1"/>
    <xf numFmtId="0" fontId="14" fillId="0" borderId="0" xfId="0" applyFont="1"/>
    <xf numFmtId="0" fontId="15" fillId="0" borderId="0" xfId="0" applyFont="1"/>
    <xf numFmtId="0" fontId="16" fillId="0" borderId="0" xfId="0" applyFont="1"/>
    <xf numFmtId="0" fontId="15" fillId="0" borderId="0" xfId="0" applyFont="1"/>
    <xf numFmtId="0" fontId="17" fillId="0" borderId="0" xfId="0" applyFont="1"/>
    <xf numFmtId="0" fontId="18" fillId="0" borderId="0" xfId="0" applyFont="1"/>
    <xf numFmtId="0" fontId="19" fillId="0" borderId="0" xfId="0" applyFont="1"/>
    <xf numFmtId="0" fontId="15" fillId="0" borderId="0" xfId="0" applyFont="1" applyAlignment="1">
      <alignment horizontal="left" indent="39"/>
    </xf>
    <xf numFmtId="0" fontId="20" fillId="0" borderId="0" xfId="0" applyFont="1" applyAlignment="1">
      <alignment horizontal="left" indent="32"/>
    </xf>
    <xf numFmtId="0" fontId="21" fillId="0" borderId="0" xfId="0" applyFont="1"/>
    <xf numFmtId="0" fontId="10" fillId="0" borderId="0" xfId="0" applyFont="1"/>
    <xf numFmtId="0" fontId="0" fillId="0" borderId="0" xfId="0" applyFont="1"/>
    <xf numFmtId="0" fontId="10" fillId="0" borderId="0" xfId="0" applyFont="1"/>
    <xf numFmtId="9" fontId="10" fillId="0" borderId="0" xfId="0" applyNumberFormat="1" applyFont="1" applyAlignment="1">
      <alignment horizontal="left"/>
    </xf>
    <xf numFmtId="0" fontId="22" fillId="0" borderId="0" xfId="0" applyFont="1"/>
    <xf numFmtId="0" fontId="23" fillId="0" borderId="0" xfId="0" applyFont="1" applyAlignment="1">
      <alignment vertical="top" wrapText="1"/>
    </xf>
    <xf numFmtId="0" fontId="24" fillId="0" borderId="0" xfId="0" applyFont="1"/>
    <xf numFmtId="4" fontId="21" fillId="0" borderId="1" xfId="0" applyNumberFormat="1" applyFont="1" applyBorder="1"/>
    <xf numFmtId="0" fontId="21" fillId="0" borderId="1" xfId="0" applyFont="1" applyBorder="1"/>
    <xf numFmtId="0" fontId="25" fillId="0" borderId="1" xfId="0" applyFont="1" applyBorder="1" applyAlignment="1">
      <alignment horizontal="center"/>
    </xf>
    <xf numFmtId="0" fontId="5" fillId="2" borderId="0" xfId="0" applyFont="1" applyFill="1" applyAlignment="1">
      <alignment horizontal="center"/>
    </xf>
    <xf numFmtId="0" fontId="26" fillId="2" borderId="0" xfId="0" applyFont="1" applyFill="1"/>
    <xf numFmtId="0" fontId="7" fillId="0" borderId="1" xfId="0" applyFont="1" applyBorder="1"/>
    <xf numFmtId="3" fontId="21" fillId="0" borderId="1" xfId="0" applyNumberFormat="1" applyFont="1" applyBorder="1"/>
    <xf numFmtId="0" fontId="25" fillId="0" borderId="1" xfId="0" applyFont="1" applyBorder="1"/>
    <xf numFmtId="0" fontId="21" fillId="0" borderId="0" xfId="0" applyFont="1" applyAlignment="1">
      <alignment wrapText="1"/>
    </xf>
    <xf numFmtId="0" fontId="27" fillId="0" borderId="0" xfId="0" applyFont="1"/>
    <xf numFmtId="0" fontId="28" fillId="0" borderId="0" xfId="0" applyFont="1"/>
    <xf numFmtId="0" fontId="21" fillId="0" borderId="0" xfId="0" applyFont="1" applyAlignment="1">
      <alignment horizontal="left" vertical="top" wrapText="1"/>
    </xf>
    <xf numFmtId="0" fontId="21" fillId="0" borderId="0" xfId="0" applyFont="1" applyAlignment="1">
      <alignment vertical="top" wrapText="1"/>
    </xf>
    <xf numFmtId="0" fontId="21" fillId="0" borderId="0" xfId="0" applyFont="1" applyAlignment="1">
      <alignment vertical="top" wrapText="1"/>
    </xf>
    <xf numFmtId="0" fontId="28" fillId="0" borderId="0" xfId="0" applyFont="1" applyAlignment="1">
      <alignment horizontal="center"/>
    </xf>
    <xf numFmtId="0" fontId="28" fillId="0" borderId="0" xfId="0" applyFont="1" applyAlignment="1">
      <alignment vertical="top"/>
    </xf>
    <xf numFmtId="0" fontId="27" fillId="0" borderId="0" xfId="0" applyFont="1" applyAlignment="1">
      <alignment horizontal="center"/>
    </xf>
    <xf numFmtId="0" fontId="29" fillId="3" borderId="0" xfId="0" applyFont="1" applyFill="1" applyAlignment="1">
      <alignment horizontal="left" vertical="center" wrapText="1" indent="9"/>
    </xf>
    <xf numFmtId="0" fontId="7" fillId="3" borderId="0" xfId="0" applyFont="1" applyFill="1" applyAlignment="1">
      <alignment horizontal="left" indent="9"/>
    </xf>
    <xf numFmtId="0" fontId="3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alary%20Receipt%202026/Job%20Portfolio%20Ref/Works%20sample%20-May%202026.xlsx" TargetMode="External"/><Relationship Id="rId2" Type="http://schemas.openxmlformats.org/officeDocument/2006/relationships/externalLinkPath" Target="file:///C:\Users\UDDIN%20MOSLEH\Downloads\Salary%20Receipt%202026\Job%20Portfolio%20Ref\Works%20sample%20-May%202026.xlsx" TargetMode="External"/><Relationship Id="rId1" Type="http://schemas.openxmlformats.org/officeDocument/2006/relationships/externalLinkPath" Target="/Users/UDDIN%20MOSLEH/Downloads/Salary%20Receipt%202026/Job%20Portfolio%20Ref/Works%20sample%20-May%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urkina May 2026"/>
      <sheetName val="CI MAY 2026"/>
      <sheetName val="Togo May 2026"/>
      <sheetName val="Work SAMPLE MALI 2026"/>
      <sheetName val="MALI RECONCILIATION WORK SAMPLE"/>
      <sheetName val="Work SAMPLE SENEGAL may 2026"/>
      <sheetName val="SUMIF Practice"/>
      <sheetName val="Portfolio Summary"/>
    </sheetNames>
    <sheetDataSet>
      <sheetData sheetId="0">
        <row r="3">
          <cell r="C3">
            <v>70210341.470000058</v>
          </cell>
        </row>
        <row r="5">
          <cell r="C5">
            <v>118500000</v>
          </cell>
        </row>
        <row r="23">
          <cell r="C23">
            <v>49292411</v>
          </cell>
        </row>
        <row r="32">
          <cell r="C32">
            <v>16074777.140000001</v>
          </cell>
        </row>
        <row r="40">
          <cell r="C40">
            <v>16655567.170000002</v>
          </cell>
        </row>
        <row r="47">
          <cell r="C47">
            <v>4518830.95</v>
          </cell>
        </row>
        <row r="56">
          <cell r="C56">
            <v>9273176.3446999993</v>
          </cell>
        </row>
        <row r="61">
          <cell r="C61">
            <v>-92895837.665299997</v>
          </cell>
        </row>
        <row r="68">
          <cell r="C68">
            <v>95814762.604700044</v>
          </cell>
        </row>
        <row r="70">
          <cell r="C70">
            <v>-1.2199968099594116E-2</v>
          </cell>
        </row>
      </sheetData>
      <sheetData sheetId="1">
        <row r="3">
          <cell r="C3">
            <v>172600802.19140005</v>
          </cell>
        </row>
        <row r="5">
          <cell r="C5">
            <v>301701297</v>
          </cell>
        </row>
        <row r="54">
          <cell r="C54">
            <v>71128299</v>
          </cell>
        </row>
        <row r="61">
          <cell r="C61">
            <v>60534475</v>
          </cell>
        </row>
        <row r="71">
          <cell r="C71">
            <v>21201750.529999986</v>
          </cell>
        </row>
        <row r="80">
          <cell r="C80">
            <v>19534113.300000027</v>
          </cell>
        </row>
        <row r="88">
          <cell r="C88">
            <v>941440.72999999975</v>
          </cell>
        </row>
        <row r="96">
          <cell r="C96">
            <v>4264822.6300000008</v>
          </cell>
        </row>
        <row r="107">
          <cell r="C107">
            <v>5562276.2275999933</v>
          </cell>
        </row>
        <row r="115">
          <cell r="C115">
            <v>-291177843.77400005</v>
          </cell>
        </row>
        <row r="120">
          <cell r="C120">
            <v>183167177.4174</v>
          </cell>
        </row>
        <row r="122">
          <cell r="C122">
            <v>0</v>
          </cell>
        </row>
      </sheetData>
      <sheetData sheetId="2">
        <row r="3">
          <cell r="C3">
            <v>136432981.52000004</v>
          </cell>
        </row>
        <row r="5">
          <cell r="C5">
            <v>341127000</v>
          </cell>
        </row>
        <row r="40">
          <cell r="C40">
            <v>79958037</v>
          </cell>
        </row>
        <row r="47">
          <cell r="C47">
            <v>4130717</v>
          </cell>
        </row>
        <row r="56">
          <cell r="C56">
            <v>9611429.8200000077</v>
          </cell>
        </row>
        <row r="64">
          <cell r="C64">
            <v>11916430.439999998</v>
          </cell>
        </row>
        <row r="72">
          <cell r="C72">
            <v>4426011.2500000019</v>
          </cell>
        </row>
        <row r="79">
          <cell r="C79">
            <v>-367659661.00999999</v>
          </cell>
        </row>
        <row r="83">
          <cell r="C83">
            <v>110042625.51000005</v>
          </cell>
        </row>
      </sheetData>
      <sheetData sheetId="3"/>
      <sheetData sheetId="4">
        <row r="3">
          <cell r="C3">
            <v>22379620.971799999</v>
          </cell>
        </row>
        <row r="5">
          <cell r="C5">
            <v>0</v>
          </cell>
        </row>
        <row r="27">
          <cell r="C27">
            <v>184100</v>
          </cell>
        </row>
        <row r="34">
          <cell r="C34">
            <v>395641</v>
          </cell>
        </row>
        <row r="43">
          <cell r="C43">
            <v>3998917.2999999989</v>
          </cell>
        </row>
        <row r="52">
          <cell r="C52">
            <v>780808.99999999348</v>
          </cell>
        </row>
        <row r="62">
          <cell r="C62">
            <v>5275417.7636999963</v>
          </cell>
        </row>
        <row r="67">
          <cell r="C67">
            <v>-11749914.1052</v>
          </cell>
        </row>
        <row r="74">
          <cell r="C74">
            <v>10634885.866599999</v>
          </cell>
        </row>
        <row r="76">
          <cell r="C76">
            <v>-1.34000014513731E-2</v>
          </cell>
        </row>
      </sheetData>
      <sheetData sheetId="5">
        <row r="3">
          <cell r="C3">
            <v>782700578.26472044</v>
          </cell>
        </row>
        <row r="5">
          <cell r="C5">
            <v>1405178335</v>
          </cell>
        </row>
        <row r="44">
          <cell r="C44">
            <v>35871815</v>
          </cell>
        </row>
        <row r="52">
          <cell r="C52">
            <v>31245474</v>
          </cell>
        </row>
        <row r="62">
          <cell r="C62">
            <v>32106976.770000011</v>
          </cell>
        </row>
        <row r="73">
          <cell r="C73">
            <v>2265932.5570700932</v>
          </cell>
        </row>
        <row r="83">
          <cell r="C83">
            <v>1788875.8900000006</v>
          </cell>
        </row>
        <row r="96">
          <cell r="C96">
            <v>-1415697380.1600001</v>
          </cell>
        </row>
        <row r="101">
          <cell r="C101">
            <v>772250563.10472035</v>
          </cell>
        </row>
        <row r="103">
          <cell r="C103">
            <v>4.304051399230957E-2</v>
          </cell>
        </row>
      </sheetData>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FC51-4804-428D-BC70-E1BCA71819B7}">
  <dimension ref="B1:K29"/>
  <sheetViews>
    <sheetView zoomScale="85" workbookViewId="0">
      <selection activeCell="J13" sqref="J13"/>
    </sheetView>
  </sheetViews>
  <sheetFormatPr defaultRowHeight="17" x14ac:dyDescent="0.4"/>
  <cols>
    <col min="1" max="1" width="3.6328125" style="32" customWidth="1"/>
    <col min="2" max="3" width="16.36328125" style="32" customWidth="1"/>
    <col min="4" max="4" width="10.453125" style="32" customWidth="1"/>
    <col min="5" max="7" width="16.36328125" style="32" customWidth="1"/>
    <col min="8" max="8" width="15.90625" style="32" customWidth="1"/>
    <col min="9" max="11" width="14.54296875" style="32" customWidth="1"/>
    <col min="12" max="16384" width="8.7265625" style="32"/>
  </cols>
  <sheetData>
    <row r="1" spans="2:11" ht="15" customHeight="1" x14ac:dyDescent="0.4"/>
    <row r="2" spans="2:11" x14ac:dyDescent="0.4">
      <c r="B2" s="33" t="s">
        <v>96</v>
      </c>
    </row>
    <row r="3" spans="2:11" x14ac:dyDescent="0.4">
      <c r="B3" s="48" t="s">
        <v>116</v>
      </c>
      <c r="C3" s="48"/>
      <c r="D3" s="48"/>
      <c r="E3" s="48"/>
      <c r="F3" s="48"/>
      <c r="G3" s="34"/>
      <c r="H3" s="34"/>
      <c r="J3" s="34"/>
      <c r="K3" s="34"/>
    </row>
    <row r="4" spans="2:11" x14ac:dyDescent="0.4">
      <c r="B4" s="32" t="s">
        <v>117</v>
      </c>
    </row>
    <row r="5" spans="2:11" ht="20" customHeight="1" x14ac:dyDescent="0.4"/>
    <row r="6" spans="2:11" ht="14.5" customHeight="1" x14ac:dyDescent="0.4">
      <c r="B6" s="42" t="s">
        <v>118</v>
      </c>
      <c r="C6" s="42"/>
      <c r="D6" s="42"/>
      <c r="E6" s="42"/>
      <c r="F6" s="42"/>
      <c r="G6" s="42"/>
      <c r="H6" s="42"/>
      <c r="I6" s="42"/>
      <c r="J6" s="42"/>
      <c r="K6" s="42"/>
    </row>
    <row r="7" spans="2:11" ht="10" customHeight="1" x14ac:dyDescent="0.4">
      <c r="B7" s="43"/>
      <c r="C7" s="43"/>
      <c r="D7" s="43"/>
      <c r="E7" s="43"/>
      <c r="F7" s="43"/>
      <c r="G7" s="43"/>
      <c r="H7" s="43"/>
      <c r="I7" s="43"/>
      <c r="J7" s="43"/>
      <c r="K7" s="43"/>
    </row>
    <row r="8" spans="2:11" ht="14.5" customHeight="1" x14ac:dyDescent="0.4">
      <c r="B8" s="44" t="str">
        <f>ROUND('Excel Financial Analysis Portfo'!C12/1000000000,2)&amp;" Billion XOF"</f>
        <v>2.17 Billion XOF</v>
      </c>
      <c r="C8" s="43"/>
      <c r="D8" s="43"/>
      <c r="E8" s="44" t="str">
        <f>ROUND('Excel Financial Analysis Portfo'!E12/1000000000,2)&amp;" Billion XOF"</f>
        <v>1.17 Billion XOF</v>
      </c>
      <c r="F8" s="43"/>
      <c r="G8" s="43"/>
      <c r="H8" s="45">
        <v>1</v>
      </c>
      <c r="I8" s="43"/>
      <c r="J8" s="43"/>
      <c r="K8" s="43"/>
    </row>
    <row r="9" spans="2:11" ht="14.5" customHeight="1" x14ac:dyDescent="0.4">
      <c r="B9" s="46" t="s">
        <v>119</v>
      </c>
      <c r="C9" s="43"/>
      <c r="D9" s="43"/>
      <c r="E9" s="46" t="s">
        <v>120</v>
      </c>
      <c r="F9" s="43"/>
      <c r="G9" s="43"/>
      <c r="H9" s="46" t="s">
        <v>92</v>
      </c>
      <c r="I9" s="43"/>
      <c r="J9" s="43"/>
      <c r="K9" s="43"/>
    </row>
    <row r="10" spans="2:11" ht="10" customHeight="1" x14ac:dyDescent="0.4">
      <c r="B10" s="43"/>
      <c r="C10" s="43"/>
      <c r="D10" s="43"/>
      <c r="E10" s="43"/>
      <c r="F10" s="43"/>
      <c r="G10" s="43"/>
      <c r="H10" s="43"/>
      <c r="I10" s="43"/>
      <c r="J10" s="43"/>
      <c r="K10" s="43"/>
    </row>
    <row r="11" spans="2:11" x14ac:dyDescent="0.4">
      <c r="B11" s="44" t="s">
        <v>93</v>
      </c>
      <c r="C11" s="43"/>
      <c r="D11" s="43"/>
      <c r="E11" s="44" t="s">
        <v>115</v>
      </c>
      <c r="F11" s="43"/>
      <c r="G11" s="43"/>
      <c r="H11" s="44" t="s">
        <v>94</v>
      </c>
      <c r="I11" s="43"/>
      <c r="J11" s="43"/>
      <c r="K11" s="43"/>
    </row>
    <row r="12" spans="2:11" ht="14.5" customHeight="1" x14ac:dyDescent="0.4">
      <c r="B12" s="46" t="s">
        <v>121</v>
      </c>
      <c r="C12" s="43"/>
      <c r="D12" s="43"/>
      <c r="E12" s="46" t="s">
        <v>122</v>
      </c>
      <c r="F12" s="43"/>
      <c r="G12" s="43"/>
      <c r="H12" s="46" t="s">
        <v>95</v>
      </c>
      <c r="I12" s="43"/>
      <c r="J12" s="43"/>
      <c r="K12" s="43"/>
    </row>
    <row r="13" spans="2:11" ht="15" customHeight="1" x14ac:dyDescent="0.4">
      <c r="B13" s="43"/>
      <c r="C13" s="43"/>
      <c r="D13" s="43"/>
      <c r="E13" s="43"/>
      <c r="F13" s="43"/>
      <c r="G13" s="43"/>
      <c r="H13" s="43"/>
      <c r="I13" s="43"/>
      <c r="J13" s="43"/>
      <c r="K13" s="43"/>
    </row>
    <row r="14" spans="2:11" ht="14.5" customHeight="1" x14ac:dyDescent="0.4">
      <c r="B14" s="36" t="s">
        <v>123</v>
      </c>
      <c r="C14" s="36"/>
      <c r="D14" s="36"/>
      <c r="E14" s="36"/>
      <c r="F14" s="36"/>
      <c r="G14" s="36"/>
      <c r="H14" s="36"/>
      <c r="I14" s="36"/>
      <c r="J14" s="36"/>
      <c r="K14" s="36"/>
    </row>
    <row r="15" spans="2:11" ht="10" customHeight="1" x14ac:dyDescent="0.4"/>
    <row r="16" spans="2:11" ht="14.5" customHeight="1" x14ac:dyDescent="0.4">
      <c r="B16" s="35" t="s">
        <v>124</v>
      </c>
      <c r="C16" s="35"/>
      <c r="D16" s="35"/>
      <c r="E16" s="35"/>
      <c r="F16" s="35"/>
      <c r="G16" s="35"/>
      <c r="H16" s="35"/>
      <c r="I16" s="35"/>
      <c r="J16" s="35"/>
      <c r="K16" s="35"/>
    </row>
    <row r="17" spans="2:11" ht="10" customHeight="1" x14ac:dyDescent="0.4"/>
    <row r="18" spans="2:11" x14ac:dyDescent="0.4">
      <c r="B18" s="37" t="s">
        <v>125</v>
      </c>
      <c r="C18" s="41"/>
      <c r="D18" s="41"/>
      <c r="E18" s="41" t="s">
        <v>126</v>
      </c>
      <c r="F18" s="41"/>
      <c r="G18" s="41"/>
      <c r="H18" s="41"/>
    </row>
    <row r="19" spans="2:11" x14ac:dyDescent="0.4">
      <c r="B19" s="37" t="s">
        <v>127</v>
      </c>
      <c r="C19" s="41"/>
      <c r="D19" s="41"/>
      <c r="E19" s="41" t="s">
        <v>128</v>
      </c>
      <c r="F19" s="41"/>
      <c r="G19" s="41"/>
      <c r="H19" s="41"/>
    </row>
    <row r="20" spans="2:11" x14ac:dyDescent="0.4">
      <c r="B20" s="37" t="s">
        <v>132</v>
      </c>
      <c r="C20" s="41"/>
      <c r="D20" s="41"/>
      <c r="E20" s="41" t="s">
        <v>129</v>
      </c>
      <c r="F20" s="41"/>
      <c r="G20" s="41"/>
      <c r="H20" s="41"/>
    </row>
    <row r="21" spans="2:11" x14ac:dyDescent="0.4">
      <c r="B21" s="37" t="s">
        <v>130</v>
      </c>
      <c r="C21" s="41"/>
      <c r="D21" s="41"/>
      <c r="E21" s="15" t="s">
        <v>131</v>
      </c>
      <c r="F21" s="15"/>
      <c r="G21" s="15"/>
      <c r="H21" s="15"/>
      <c r="I21" s="34"/>
      <c r="J21" s="34"/>
      <c r="K21" s="34"/>
    </row>
    <row r="22" spans="2:11" ht="15" customHeight="1" x14ac:dyDescent="0.4"/>
    <row r="23" spans="2:11" x14ac:dyDescent="0.4">
      <c r="B23" s="38" t="s">
        <v>123</v>
      </c>
      <c r="C23" s="38"/>
      <c r="D23" s="38"/>
      <c r="E23" s="38"/>
      <c r="F23" s="38"/>
      <c r="G23" s="38"/>
      <c r="H23" s="38"/>
      <c r="I23" s="38"/>
      <c r="J23" s="38"/>
      <c r="K23" s="38"/>
    </row>
    <row r="24" spans="2:11" ht="10" customHeight="1" x14ac:dyDescent="0.4"/>
    <row r="25" spans="2:11" ht="14.5" customHeight="1" x14ac:dyDescent="0.4">
      <c r="B25" s="47" t="s">
        <v>133</v>
      </c>
      <c r="C25" s="47"/>
      <c r="D25" s="47"/>
      <c r="E25" s="47"/>
      <c r="F25" s="47"/>
      <c r="G25" s="47"/>
      <c r="H25" s="47"/>
      <c r="I25" s="47"/>
      <c r="J25" s="47"/>
      <c r="K25" s="47"/>
    </row>
    <row r="26" spans="2:11" x14ac:dyDescent="0.4">
      <c r="B26" s="47"/>
      <c r="C26" s="47"/>
      <c r="D26" s="47"/>
      <c r="E26" s="47"/>
      <c r="F26" s="47"/>
      <c r="G26" s="47"/>
      <c r="H26" s="47"/>
      <c r="I26" s="47"/>
      <c r="J26" s="47"/>
      <c r="K26" s="47"/>
    </row>
    <row r="27" spans="2:11" x14ac:dyDescent="0.4">
      <c r="B27" s="47"/>
      <c r="C27" s="47"/>
      <c r="D27" s="47"/>
      <c r="E27" s="47"/>
      <c r="F27" s="47"/>
      <c r="G27" s="47"/>
      <c r="H27" s="47"/>
      <c r="I27" s="47"/>
      <c r="J27" s="47"/>
      <c r="K27" s="47"/>
    </row>
    <row r="28" spans="2:11" x14ac:dyDescent="0.4">
      <c r="B28" s="39" t="s">
        <v>102</v>
      </c>
      <c r="C28" s="39"/>
      <c r="D28" s="39"/>
      <c r="E28" s="39"/>
      <c r="F28" s="39"/>
      <c r="G28" s="39"/>
      <c r="H28" s="39"/>
      <c r="I28" s="39"/>
      <c r="J28" s="39"/>
      <c r="K28" s="39"/>
    </row>
    <row r="29" spans="2:11" x14ac:dyDescent="0.4">
      <c r="B29" s="40" t="s">
        <v>114</v>
      </c>
      <c r="C29" s="40"/>
      <c r="D29" s="40"/>
      <c r="E29" s="40"/>
      <c r="F29" s="40"/>
      <c r="G29" s="40"/>
      <c r="H29" s="40"/>
      <c r="I29" s="40"/>
      <c r="J29" s="40"/>
      <c r="K29" s="40"/>
    </row>
  </sheetData>
  <mergeCells count="6">
    <mergeCell ref="B29:K29"/>
    <mergeCell ref="B23:K23"/>
    <mergeCell ref="B25:K27"/>
    <mergeCell ref="B6:K6"/>
    <mergeCell ref="B14:K14"/>
    <mergeCell ref="B16:K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30DB-AF4D-46B7-8914-F3B1A9DEA858}">
  <dimension ref="A1:H49"/>
  <sheetViews>
    <sheetView topLeftCell="A15" zoomScale="79" workbookViewId="0">
      <selection activeCell="A59" sqref="A59"/>
    </sheetView>
  </sheetViews>
  <sheetFormatPr defaultRowHeight="14.5" x14ac:dyDescent="0.35"/>
  <cols>
    <col min="1" max="1" width="55" bestFit="1" customWidth="1"/>
    <col min="2" max="2" width="32.7265625" customWidth="1"/>
    <col min="3" max="3" width="33.1796875" customWidth="1"/>
    <col min="4" max="5" width="25.453125" customWidth="1"/>
    <col min="6" max="6" width="21.81640625" customWidth="1"/>
    <col min="7" max="7" width="29.7265625" customWidth="1"/>
  </cols>
  <sheetData>
    <row r="1" spans="1:8" ht="26" x14ac:dyDescent="0.6">
      <c r="A1" s="30" t="s">
        <v>134</v>
      </c>
      <c r="B1" s="30"/>
      <c r="C1" s="30"/>
      <c r="D1" s="30"/>
      <c r="E1" s="30"/>
      <c r="F1" s="26"/>
      <c r="G1" s="26"/>
      <c r="H1" s="26"/>
    </row>
    <row r="2" spans="1:8" ht="16" x14ac:dyDescent="0.4">
      <c r="A2" s="28" t="s">
        <v>0</v>
      </c>
      <c r="B2" s="29"/>
      <c r="C2" s="29"/>
      <c r="D2" s="29"/>
      <c r="E2" s="29"/>
      <c r="F2" s="29"/>
      <c r="G2" s="29"/>
      <c r="H2" s="29"/>
    </row>
    <row r="4" spans="1:8" x14ac:dyDescent="0.35">
      <c r="A4" t="s">
        <v>44</v>
      </c>
    </row>
    <row r="6" spans="1:8" x14ac:dyDescent="0.35">
      <c r="A6" s="2" t="s">
        <v>1</v>
      </c>
      <c r="B6" s="2" t="s">
        <v>2</v>
      </c>
      <c r="C6" s="2" t="s">
        <v>3</v>
      </c>
      <c r="D6" s="2" t="s">
        <v>4</v>
      </c>
      <c r="E6" s="2" t="s">
        <v>5</v>
      </c>
      <c r="F6" s="2" t="s">
        <v>6</v>
      </c>
      <c r="G6" s="2" t="s">
        <v>7</v>
      </c>
    </row>
    <row r="7" spans="1:8" x14ac:dyDescent="0.35">
      <c r="A7" s="3" t="s">
        <v>8</v>
      </c>
      <c r="B7" s="4">
        <f>'[1]Work SAMPLE SENEGAL may 2026'!C3</f>
        <v>782700578.26472044</v>
      </c>
      <c r="C7" s="4">
        <f>'[1]Work SAMPLE SENEGAL may 2026'!C5</f>
        <v>1405178335</v>
      </c>
      <c r="D7" s="4">
        <f>'[1]Work SAMPLE SENEGAL may 2026'!C96</f>
        <v>-1415697380.1600001</v>
      </c>
      <c r="E7" s="4">
        <f>'[1]Work SAMPLE SENEGAL may 2026'!C101</f>
        <v>772250563.10472035</v>
      </c>
      <c r="F7" s="4">
        <f>'[1]Work SAMPLE SENEGAL may 2026'!C103</f>
        <v>4.304051399230957E-2</v>
      </c>
      <c r="G7" s="5" t="str">
        <f>IF(ABS(F7)&lt;1,"Reconciled","Review Needed")</f>
        <v>Reconciled</v>
      </c>
    </row>
    <row r="8" spans="1:8" x14ac:dyDescent="0.35">
      <c r="A8" s="3" t="s">
        <v>9</v>
      </c>
      <c r="B8" s="4">
        <f>'[1]Burkina May 2026'!C3</f>
        <v>70210341.470000058</v>
      </c>
      <c r="C8" s="4">
        <f>'[1]Burkina May 2026'!C5</f>
        <v>118500000</v>
      </c>
      <c r="D8" s="4">
        <f>'[1]Burkina May 2026'!C61</f>
        <v>-92895837.665299997</v>
      </c>
      <c r="E8" s="4">
        <f>'[1]Burkina May 2026'!C68</f>
        <v>95814762.604700044</v>
      </c>
      <c r="F8" s="4">
        <f>'[1]Burkina May 2026'!C70</f>
        <v>-1.2199968099594116E-2</v>
      </c>
      <c r="G8" s="5" t="str">
        <f>IF(ABS(F8)&lt;1,"Reconciled","Review Needed")</f>
        <v>Reconciled</v>
      </c>
    </row>
    <row r="9" spans="1:8" x14ac:dyDescent="0.35">
      <c r="A9" s="3" t="s">
        <v>10</v>
      </c>
      <c r="B9" s="4">
        <f>'[1]CI MAY 2026'!C3</f>
        <v>172600802.19140005</v>
      </c>
      <c r="C9" s="4">
        <f>'[1]CI MAY 2026'!C5</f>
        <v>301701297</v>
      </c>
      <c r="D9" s="4">
        <f>'[1]CI MAY 2026'!C115</f>
        <v>-291177843.77400005</v>
      </c>
      <c r="E9" s="4">
        <f>'[1]CI MAY 2026'!C120</f>
        <v>183167177.4174</v>
      </c>
      <c r="F9" s="4">
        <f>'[1]CI MAY 2026'!C122</f>
        <v>0</v>
      </c>
      <c r="G9" s="5" t="str">
        <f>IF(ABS(F9)&lt;1,"Reconciled","Review Needed")</f>
        <v>Reconciled</v>
      </c>
    </row>
    <row r="10" spans="1:8" x14ac:dyDescent="0.35">
      <c r="A10" s="12" t="s">
        <v>11</v>
      </c>
      <c r="B10" s="4">
        <f>'[1]Togo May 2026'!C3</f>
        <v>136432981.52000004</v>
      </c>
      <c r="C10" s="4">
        <f>'[1]Togo May 2026'!C5</f>
        <v>341127000</v>
      </c>
      <c r="D10" s="4">
        <f>'[1]Togo May 2026'!C79</f>
        <v>-367659661.00999999</v>
      </c>
      <c r="E10" s="4">
        <f>'[1]Togo May 2026'!C83</f>
        <v>110042625.51000005</v>
      </c>
      <c r="F10" s="4">
        <f>0</f>
        <v>0</v>
      </c>
      <c r="G10" s="5" t="str">
        <f>IF(ABS(F10)&lt;1,"Reconciled","Review Needed")</f>
        <v>Reconciled</v>
      </c>
    </row>
    <row r="11" spans="1:8" x14ac:dyDescent="0.35">
      <c r="A11" s="3" t="s">
        <v>12</v>
      </c>
      <c r="B11" s="4">
        <f>'[1]MALI RECONCILIATION WORK SAMPLE'!C3</f>
        <v>22379620.971799999</v>
      </c>
      <c r="C11" s="4">
        <f>'[1]MALI RECONCILIATION WORK SAMPLE'!C5</f>
        <v>0</v>
      </c>
      <c r="D11" s="4">
        <f>'[1]MALI RECONCILIATION WORK SAMPLE'!C67</f>
        <v>-11749914.1052</v>
      </c>
      <c r="E11" s="4">
        <f>'[1]MALI RECONCILIATION WORK SAMPLE'!C74</f>
        <v>10634885.866599999</v>
      </c>
      <c r="F11" s="4">
        <f>'[1]MALI RECONCILIATION WORK SAMPLE'!C76</f>
        <v>-1.34000014513731E-2</v>
      </c>
      <c r="G11" s="5" t="str">
        <f>IF(ABS(F11)&lt;1,"Reconciled","Review Needed")</f>
        <v>Reconciled</v>
      </c>
    </row>
    <row r="12" spans="1:8" x14ac:dyDescent="0.35">
      <c r="A12" s="6" t="s">
        <v>13</v>
      </c>
      <c r="B12" s="7">
        <f>SUM(B7:B11)</f>
        <v>1184324324.4179206</v>
      </c>
      <c r="C12" s="7">
        <f>SUM(C7:C11)</f>
        <v>2166506632</v>
      </c>
      <c r="D12" s="7">
        <f>SUM(D7:D11)</f>
        <v>-2179180636.7144995</v>
      </c>
      <c r="E12" s="7">
        <f>SUM(E7:E11)</f>
        <v>1171910014.5034206</v>
      </c>
      <c r="F12" s="7">
        <f>SUM(F7:F11)</f>
        <v>1.7440544441342354E-2</v>
      </c>
      <c r="G12" s="6" t="str">
        <f>COUNTIF(G7:G11,"Reconciled")&amp;" of 5 Reconciled"</f>
        <v>5 of 5 Reconciled</v>
      </c>
    </row>
    <row r="15" spans="1:8" x14ac:dyDescent="0.35">
      <c r="A15" t="s">
        <v>45</v>
      </c>
    </row>
    <row r="17" spans="1:7" x14ac:dyDescent="0.35">
      <c r="A17" s="19" t="s">
        <v>46</v>
      </c>
      <c r="C17" s="19" t="s">
        <v>47</v>
      </c>
      <c r="E17" s="19" t="s">
        <v>48</v>
      </c>
      <c r="G17" s="19" t="s">
        <v>49</v>
      </c>
    </row>
    <row r="18" spans="1:7" ht="18.5" x14ac:dyDescent="0.45">
      <c r="A18" s="18">
        <f>E12</f>
        <v>1171910014.5034206</v>
      </c>
      <c r="C18" s="18">
        <f>C12</f>
        <v>2166506632</v>
      </c>
      <c r="E18" s="18">
        <f>ABS(D12)</f>
        <v>2179180636.7144995</v>
      </c>
      <c r="G18" s="21">
        <f>COUNTIF(G7:G11,"Reconciled")/5</f>
        <v>1</v>
      </c>
    </row>
    <row r="20" spans="1:7" x14ac:dyDescent="0.35">
      <c r="E20" s="20"/>
    </row>
    <row r="22" spans="1:7" x14ac:dyDescent="0.35">
      <c r="A22" t="s">
        <v>14</v>
      </c>
    </row>
    <row r="24" spans="1:7" x14ac:dyDescent="0.35">
      <c r="A24" s="2" t="s">
        <v>1</v>
      </c>
      <c r="B24" s="2" t="s">
        <v>15</v>
      </c>
      <c r="C24" s="2" t="s">
        <v>16</v>
      </c>
      <c r="D24" s="2" t="s">
        <v>17</v>
      </c>
      <c r="E24" s="2" t="s">
        <v>18</v>
      </c>
      <c r="F24" s="2" t="s">
        <v>19</v>
      </c>
    </row>
    <row r="25" spans="1:7" x14ac:dyDescent="0.35">
      <c r="A25" s="3" t="s">
        <v>8</v>
      </c>
      <c r="B25" s="9">
        <f>'[1]Work SAMPLE SENEGAL may 2026'!C44+'[1]Work SAMPLE SENEGAL may 2026'!C52</f>
        <v>67117289</v>
      </c>
      <c r="C25" s="9">
        <f>'[1]Work SAMPLE SENEGAL may 2026'!C83</f>
        <v>1788875.8900000006</v>
      </c>
      <c r="D25" s="9">
        <f>'[1]Work SAMPLE SENEGAL may 2026'!C73</f>
        <v>2265932.5570700932</v>
      </c>
      <c r="E25" s="9">
        <v>0</v>
      </c>
      <c r="F25" s="9">
        <f>'[1]Work SAMPLE SENEGAL may 2026'!C62</f>
        <v>32106976.770000011</v>
      </c>
    </row>
    <row r="26" spans="1:7" x14ac:dyDescent="0.35">
      <c r="A26" s="3" t="s">
        <v>9</v>
      </c>
      <c r="B26" s="9">
        <f>'[1]Burkina May 2026'!C23</f>
        <v>49292411</v>
      </c>
      <c r="C26" s="9">
        <f>'[1]Burkina May 2026'!C40</f>
        <v>16655567.170000002</v>
      </c>
      <c r="D26" s="9">
        <f>'[1]Burkina May 2026'!C56</f>
        <v>9273176.3446999993</v>
      </c>
      <c r="E26" s="9">
        <f>'[1]Burkina May 2026'!C47</f>
        <v>4518830.95</v>
      </c>
      <c r="F26" s="9">
        <f>'[1]Burkina May 2026'!C32</f>
        <v>16074777.140000001</v>
      </c>
    </row>
    <row r="27" spans="1:7" x14ac:dyDescent="0.35">
      <c r="A27" s="3" t="s">
        <v>10</v>
      </c>
      <c r="B27" s="9">
        <f>'[1]CI MAY 2026'!C54+'[1]CI MAY 2026'!C61</f>
        <v>131662774</v>
      </c>
      <c r="C27" s="9">
        <f>'[1]CI MAY 2026'!C80</f>
        <v>19534113.300000027</v>
      </c>
      <c r="D27" s="9">
        <f>'[1]CI MAY 2026'!C107</f>
        <v>5562276.2275999933</v>
      </c>
      <c r="E27" s="9">
        <f>'[1]CI MAY 2026'!C88+'[1]CI MAY 2026'!C96</f>
        <v>5206263.3600000003</v>
      </c>
      <c r="F27" s="9">
        <f>'[1]CI MAY 2026'!C71</f>
        <v>21201750.529999986</v>
      </c>
    </row>
    <row r="28" spans="1:7" x14ac:dyDescent="0.35">
      <c r="A28" s="3" t="s">
        <v>11</v>
      </c>
      <c r="B28" s="9">
        <f>'[1]Togo May 2026'!C40+'[1]Togo May 2026'!C47</f>
        <v>84088754</v>
      </c>
      <c r="C28" s="9">
        <f>'[1]Togo May 2026'!C64</f>
        <v>11916430.439999998</v>
      </c>
      <c r="D28" s="9">
        <v>0</v>
      </c>
      <c r="E28" s="9">
        <f>'[1]Togo May 2026'!C72</f>
        <v>4426011.2500000019</v>
      </c>
      <c r="F28" s="9">
        <f>'[1]Togo May 2026'!C56</f>
        <v>9611429.8200000077</v>
      </c>
    </row>
    <row r="29" spans="1:7" x14ac:dyDescent="0.35">
      <c r="A29" s="3" t="s">
        <v>12</v>
      </c>
      <c r="B29" s="9">
        <f>'[1]MALI RECONCILIATION WORK SAMPLE'!C27+'[1]MALI RECONCILIATION WORK SAMPLE'!C34</f>
        <v>579741</v>
      </c>
      <c r="C29" s="9">
        <f>'[1]MALI RECONCILIATION WORK SAMPLE'!C52</f>
        <v>780808.99999999348</v>
      </c>
      <c r="D29" s="9">
        <f>'[1]MALI RECONCILIATION WORK SAMPLE'!C62</f>
        <v>5275417.7636999963</v>
      </c>
      <c r="E29" s="9">
        <v>0</v>
      </c>
      <c r="F29" s="9">
        <f>'[1]MALI RECONCILIATION WORK SAMPLE'!C43</f>
        <v>3998917.2999999989</v>
      </c>
    </row>
    <row r="30" spans="1:7" x14ac:dyDescent="0.35">
      <c r="A30" s="6" t="s">
        <v>135</v>
      </c>
      <c r="B30" s="10">
        <f>SUM(B25:B29)</f>
        <v>332740969</v>
      </c>
      <c r="C30" s="10">
        <f>SUM(C25:C29)</f>
        <v>50675795.800000019</v>
      </c>
      <c r="D30" s="10">
        <f>SUM(D25:D29)</f>
        <v>22376802.893070083</v>
      </c>
      <c r="E30" s="10">
        <f>SUM(E25:E29)</f>
        <v>14151105.560000002</v>
      </c>
      <c r="F30" s="10">
        <f>SUM(F25:F29)</f>
        <v>82993851.560000002</v>
      </c>
    </row>
    <row r="33" spans="1:8" x14ac:dyDescent="0.35">
      <c r="A33" t="s">
        <v>20</v>
      </c>
    </row>
    <row r="35" spans="1:8" ht="15" thickBot="1" x14ac:dyDescent="0.4">
      <c r="A35" s="23" t="s">
        <v>21</v>
      </c>
      <c r="B35" s="23" t="s">
        <v>22</v>
      </c>
    </row>
    <row r="36" spans="1:8" ht="15" thickTop="1" x14ac:dyDescent="0.35">
      <c r="A36" s="22" t="s">
        <v>23</v>
      </c>
      <c r="B36" s="8" t="s">
        <v>24</v>
      </c>
    </row>
    <row r="37" spans="1:8" x14ac:dyDescent="0.35">
      <c r="A37" s="11" t="s">
        <v>25</v>
      </c>
      <c r="B37" s="12" t="s">
        <v>26</v>
      </c>
    </row>
    <row r="38" spans="1:8" x14ac:dyDescent="0.35">
      <c r="A38" s="11" t="s">
        <v>27</v>
      </c>
      <c r="B38" s="12" t="s">
        <v>28</v>
      </c>
    </row>
    <row r="39" spans="1:8" x14ac:dyDescent="0.35">
      <c r="A39" s="11" t="s">
        <v>29</v>
      </c>
      <c r="B39" s="12" t="s">
        <v>30</v>
      </c>
    </row>
    <row r="40" spans="1:8" x14ac:dyDescent="0.35">
      <c r="A40" s="11" t="s">
        <v>31</v>
      </c>
      <c r="B40" s="12" t="s">
        <v>32</v>
      </c>
    </row>
    <row r="41" spans="1:8" x14ac:dyDescent="0.35">
      <c r="A41" s="11" t="s">
        <v>33</v>
      </c>
      <c r="B41" s="12" t="s">
        <v>34</v>
      </c>
    </row>
    <row r="44" spans="1:8" x14ac:dyDescent="0.35">
      <c r="A44" s="13" t="s">
        <v>35</v>
      </c>
      <c r="D44" s="31" t="s">
        <v>36</v>
      </c>
      <c r="E44" s="31"/>
      <c r="F44" s="31"/>
      <c r="G44" s="31"/>
      <c r="H44" s="31"/>
    </row>
    <row r="45" spans="1:8" x14ac:dyDescent="0.35">
      <c r="A45" s="14" t="s">
        <v>43</v>
      </c>
      <c r="D45" s="15" t="s">
        <v>37</v>
      </c>
    </row>
    <row r="46" spans="1:8" x14ac:dyDescent="0.35">
      <c r="A46" s="14" t="s">
        <v>38</v>
      </c>
      <c r="D46" s="15" t="s">
        <v>39</v>
      </c>
    </row>
    <row r="47" spans="1:8" x14ac:dyDescent="0.35">
      <c r="A47" s="16" t="str">
        <f ca="1">"Report Date: "&amp;TEXT(TODAY(),"MMMM DD, YYYY")</f>
        <v>Report Date: June 19, 2026</v>
      </c>
      <c r="D47" s="15" t="s">
        <v>40</v>
      </c>
    </row>
    <row r="48" spans="1:8" x14ac:dyDescent="0.35">
      <c r="D48" s="15" t="s">
        <v>41</v>
      </c>
    </row>
    <row r="49" spans="4:4" x14ac:dyDescent="0.35">
      <c r="D49" s="15" t="s">
        <v>42</v>
      </c>
    </row>
  </sheetData>
  <mergeCells count="3">
    <mergeCell ref="A2:H2"/>
    <mergeCell ref="A1:E1"/>
    <mergeCell ref="D44:H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2E0E-7B46-40B0-BD99-ECCF65180638}">
  <dimension ref="A1:G19"/>
  <sheetViews>
    <sheetView workbookViewId="0">
      <selection activeCell="F18" sqref="F18"/>
    </sheetView>
  </sheetViews>
  <sheetFormatPr defaultRowHeight="14.5" x14ac:dyDescent="0.35"/>
  <cols>
    <col min="1" max="1" width="10.453125" bestFit="1" customWidth="1"/>
    <col min="2" max="2" width="30" customWidth="1"/>
    <col min="3" max="3" width="25.453125" bestFit="1" customWidth="1"/>
    <col min="4" max="4" width="24.81640625" bestFit="1" customWidth="1"/>
    <col min="5" max="5" width="16" customWidth="1"/>
    <col min="6" max="6" width="35.90625" bestFit="1" customWidth="1"/>
    <col min="7" max="7" width="24.08984375" bestFit="1" customWidth="1"/>
  </cols>
  <sheetData>
    <row r="1" spans="1:7" ht="18.5" x14ac:dyDescent="0.45">
      <c r="B1" s="52" t="s">
        <v>50</v>
      </c>
      <c r="C1" s="53"/>
      <c r="D1" s="53"/>
      <c r="E1" s="53"/>
      <c r="F1" s="53"/>
      <c r="G1" s="53"/>
    </row>
    <row r="3" spans="1:7" x14ac:dyDescent="0.35">
      <c r="B3" s="51" t="s">
        <v>51</v>
      </c>
      <c r="C3" s="51" t="s">
        <v>52</v>
      </c>
      <c r="D3" s="51" t="s">
        <v>53</v>
      </c>
      <c r="E3" s="51" t="s">
        <v>54</v>
      </c>
      <c r="F3" s="51" t="s">
        <v>7</v>
      </c>
      <c r="G3" s="51" t="s">
        <v>55</v>
      </c>
    </row>
    <row r="4" spans="1:7" x14ac:dyDescent="0.35">
      <c r="B4" s="6" t="s">
        <v>56</v>
      </c>
      <c r="C4" s="49" t="s">
        <v>57</v>
      </c>
      <c r="D4" s="49" t="s">
        <v>58</v>
      </c>
      <c r="E4" s="50" t="s">
        <v>59</v>
      </c>
      <c r="F4" s="49" t="s">
        <v>60</v>
      </c>
      <c r="G4" s="49" t="s">
        <v>61</v>
      </c>
    </row>
    <row r="5" spans="1:7" x14ac:dyDescent="0.35">
      <c r="B5" s="6" t="s">
        <v>62</v>
      </c>
      <c r="C5" s="49" t="s">
        <v>63</v>
      </c>
      <c r="D5" s="49" t="s">
        <v>58</v>
      </c>
      <c r="E5" s="50" t="s">
        <v>59</v>
      </c>
      <c r="F5" s="49" t="s">
        <v>60</v>
      </c>
      <c r="G5" s="49" t="s">
        <v>64</v>
      </c>
    </row>
    <row r="6" spans="1:7" x14ac:dyDescent="0.35">
      <c r="B6" s="6" t="s">
        <v>65</v>
      </c>
      <c r="C6" s="49" t="s">
        <v>66</v>
      </c>
      <c r="D6" s="49" t="s">
        <v>58</v>
      </c>
      <c r="E6" s="50" t="s">
        <v>59</v>
      </c>
      <c r="F6" s="49" t="s">
        <v>60</v>
      </c>
      <c r="G6" s="49" t="s">
        <v>67</v>
      </c>
    </row>
    <row r="7" spans="1:7" x14ac:dyDescent="0.35">
      <c r="B7" s="6" t="s">
        <v>68</v>
      </c>
      <c r="C7" s="49" t="s">
        <v>69</v>
      </c>
      <c r="D7" s="49" t="s">
        <v>58</v>
      </c>
      <c r="E7" s="50" t="s">
        <v>59</v>
      </c>
      <c r="F7" s="49" t="s">
        <v>60</v>
      </c>
      <c r="G7" s="49" t="s">
        <v>70</v>
      </c>
    </row>
    <row r="8" spans="1:7" x14ac:dyDescent="0.35">
      <c r="B8" s="6" t="s">
        <v>71</v>
      </c>
      <c r="C8" s="49" t="s">
        <v>63</v>
      </c>
      <c r="D8" s="49" t="s">
        <v>58</v>
      </c>
      <c r="E8" s="50" t="s">
        <v>59</v>
      </c>
      <c r="F8" s="49" t="s">
        <v>60</v>
      </c>
      <c r="G8" s="49" t="s">
        <v>72</v>
      </c>
    </row>
    <row r="10" spans="1:7" ht="15" customHeight="1" x14ac:dyDescent="0.4">
      <c r="A10" s="17" t="s">
        <v>73</v>
      </c>
      <c r="B10" s="1"/>
      <c r="C10" s="1"/>
      <c r="D10" s="1"/>
      <c r="E10" s="1"/>
      <c r="F10" s="1"/>
      <c r="G10" s="1"/>
    </row>
    <row r="12" spans="1:7" x14ac:dyDescent="0.35">
      <c r="B12" s="50" t="s">
        <v>74</v>
      </c>
      <c r="C12" s="54" t="s">
        <v>75</v>
      </c>
      <c r="D12" s="55" t="s">
        <v>76</v>
      </c>
      <c r="E12" s="49" t="s">
        <v>77</v>
      </c>
      <c r="F12" s="49" t="s">
        <v>78</v>
      </c>
    </row>
    <row r="13" spans="1:7" x14ac:dyDescent="0.35">
      <c r="B13" s="50" t="s">
        <v>79</v>
      </c>
      <c r="C13" s="54" t="s">
        <v>75</v>
      </c>
      <c r="D13" s="55" t="s">
        <v>80</v>
      </c>
      <c r="E13" s="49" t="s">
        <v>77</v>
      </c>
      <c r="F13" s="49" t="s">
        <v>81</v>
      </c>
    </row>
    <row r="14" spans="1:7" x14ac:dyDescent="0.35">
      <c r="E14" s="41"/>
      <c r="F14" s="41"/>
    </row>
    <row r="15" spans="1:7" ht="16" x14ac:dyDescent="0.4">
      <c r="A15" s="17" t="s">
        <v>82</v>
      </c>
      <c r="B15" s="1"/>
      <c r="C15" s="1"/>
      <c r="D15" s="1"/>
      <c r="E15" s="1"/>
      <c r="F15" s="1"/>
      <c r="G15" s="1"/>
    </row>
    <row r="17" spans="2:4" x14ac:dyDescent="0.35">
      <c r="B17" s="56" t="s">
        <v>83</v>
      </c>
      <c r="C17" s="54" t="s">
        <v>84</v>
      </c>
      <c r="D17" s="54" t="s">
        <v>85</v>
      </c>
    </row>
    <row r="18" spans="2:4" x14ac:dyDescent="0.35">
      <c r="B18" s="56" t="s">
        <v>86</v>
      </c>
      <c r="C18" s="54" t="s">
        <v>87</v>
      </c>
      <c r="D18" s="54" t="s">
        <v>88</v>
      </c>
    </row>
    <row r="19" spans="2:4" x14ac:dyDescent="0.35">
      <c r="B19" s="56" t="s">
        <v>89</v>
      </c>
      <c r="C19" s="54" t="s">
        <v>90</v>
      </c>
      <c r="D19" s="54" t="s">
        <v>91</v>
      </c>
    </row>
  </sheetData>
  <mergeCells count="1">
    <mergeCell ref="B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FD6C-EEEC-4B54-BFFF-27FC3D34681C}">
  <dimension ref="B1:L41"/>
  <sheetViews>
    <sheetView tabSelected="1" workbookViewId="0">
      <selection activeCell="E6" sqref="E6"/>
    </sheetView>
  </sheetViews>
  <sheetFormatPr defaultRowHeight="14.5" x14ac:dyDescent="0.35"/>
  <cols>
    <col min="1" max="1" width="9.08984375" customWidth="1"/>
    <col min="2" max="2" width="90.90625" customWidth="1"/>
    <col min="3" max="3" width="9.08984375" customWidth="1"/>
  </cols>
  <sheetData>
    <row r="1" spans="2:12" ht="38" customHeight="1" x14ac:dyDescent="0.7">
      <c r="B1" s="25" t="s">
        <v>96</v>
      </c>
    </row>
    <row r="2" spans="2:12" ht="20" customHeight="1" x14ac:dyDescent="0.35">
      <c r="B2" s="66" t="s">
        <v>142</v>
      </c>
      <c r="C2" s="67"/>
      <c r="D2" s="67"/>
      <c r="E2" s="67"/>
      <c r="F2" s="67"/>
      <c r="G2" s="67"/>
      <c r="H2" s="67"/>
      <c r="I2" s="67"/>
      <c r="J2" s="67"/>
      <c r="K2" s="67"/>
      <c r="L2" s="67"/>
    </row>
    <row r="3" spans="2:12" ht="18" customHeight="1" x14ac:dyDescent="0.35">
      <c r="B3" s="24" t="s">
        <v>103</v>
      </c>
    </row>
    <row r="4" spans="2:12" ht="22" customHeight="1" x14ac:dyDescent="0.35">
      <c r="B4" s="58" t="s">
        <v>97</v>
      </c>
    </row>
    <row r="5" spans="2:12" ht="8" customHeight="1" x14ac:dyDescent="0.35"/>
    <row r="6" spans="2:12" ht="42" customHeight="1" x14ac:dyDescent="0.35">
      <c r="B6" s="57" t="s">
        <v>98</v>
      </c>
    </row>
    <row r="7" spans="2:12" ht="18" customHeight="1" x14ac:dyDescent="0.35"/>
    <row r="8" spans="2:12" ht="20" customHeight="1" x14ac:dyDescent="0.35">
      <c r="B8" s="59" t="s">
        <v>137</v>
      </c>
    </row>
    <row r="9" spans="2:12" ht="107.5" customHeight="1" x14ac:dyDescent="0.35">
      <c r="B9" s="60" t="s">
        <v>136</v>
      </c>
    </row>
    <row r="10" spans="2:12" ht="18" customHeight="1" x14ac:dyDescent="0.35"/>
    <row r="11" spans="2:12" ht="20" customHeight="1" x14ac:dyDescent="0.35">
      <c r="B11" s="59" t="s">
        <v>139</v>
      </c>
    </row>
    <row r="12" spans="2:12" ht="18" customHeight="1" x14ac:dyDescent="0.35">
      <c r="B12" s="61" t="s">
        <v>138</v>
      </c>
    </row>
    <row r="13" spans="2:12" ht="18" customHeight="1" x14ac:dyDescent="0.35">
      <c r="B13" s="61"/>
    </row>
    <row r="14" spans="2:12" ht="18" customHeight="1" x14ac:dyDescent="0.35">
      <c r="B14" s="61"/>
    </row>
    <row r="15" spans="2:12" ht="18" customHeight="1" x14ac:dyDescent="0.35">
      <c r="B15" s="61"/>
    </row>
    <row r="16" spans="2:12" ht="8" customHeight="1" x14ac:dyDescent="0.35">
      <c r="B16" s="61"/>
    </row>
    <row r="17" spans="2:2" ht="20" customHeight="1" x14ac:dyDescent="0.35">
      <c r="B17" s="59" t="s">
        <v>99</v>
      </c>
    </row>
    <row r="18" spans="2:2" ht="42" customHeight="1" x14ac:dyDescent="0.35">
      <c r="B18" s="57" t="s">
        <v>104</v>
      </c>
    </row>
    <row r="19" spans="2:2" ht="18" customHeight="1" x14ac:dyDescent="0.35"/>
    <row r="20" spans="2:2" ht="20" customHeight="1" x14ac:dyDescent="0.35">
      <c r="B20" s="59" t="s">
        <v>105</v>
      </c>
    </row>
    <row r="21" spans="2:2" ht="18" customHeight="1" x14ac:dyDescent="0.35">
      <c r="B21" s="41" t="s">
        <v>106</v>
      </c>
    </row>
    <row r="22" spans="2:2" ht="18" customHeight="1" x14ac:dyDescent="0.35">
      <c r="B22" s="41" t="s">
        <v>107</v>
      </c>
    </row>
    <row r="23" spans="2:2" ht="18" customHeight="1" x14ac:dyDescent="0.35">
      <c r="B23" s="41" t="s">
        <v>108</v>
      </c>
    </row>
    <row r="24" spans="2:2" ht="18" customHeight="1" x14ac:dyDescent="0.35">
      <c r="B24" s="41" t="s">
        <v>109</v>
      </c>
    </row>
    <row r="25" spans="2:2" ht="18" customHeight="1" x14ac:dyDescent="0.35"/>
    <row r="26" spans="2:2" ht="20" customHeight="1" x14ac:dyDescent="0.35">
      <c r="B26" s="59" t="s">
        <v>100</v>
      </c>
    </row>
    <row r="27" spans="2:2" ht="56" customHeight="1" x14ac:dyDescent="0.35">
      <c r="B27" s="60" t="s">
        <v>110</v>
      </c>
    </row>
    <row r="28" spans="2:2" ht="18" customHeight="1" x14ac:dyDescent="0.35"/>
    <row r="29" spans="2:2" ht="20" customHeight="1" x14ac:dyDescent="0.35">
      <c r="B29" s="59" t="s">
        <v>111</v>
      </c>
    </row>
    <row r="30" spans="2:2" ht="14" customHeight="1" x14ac:dyDescent="0.35">
      <c r="B30" s="24" t="s">
        <v>112</v>
      </c>
    </row>
    <row r="31" spans="2:2" ht="22" customHeight="1" x14ac:dyDescent="0.35">
      <c r="B31" s="63" t="s">
        <v>113</v>
      </c>
    </row>
    <row r="32" spans="2:2" ht="14" customHeight="1" x14ac:dyDescent="0.35">
      <c r="B32" s="24" t="s">
        <v>112</v>
      </c>
    </row>
    <row r="33" spans="2:2" ht="18" customHeight="1" x14ac:dyDescent="0.35"/>
    <row r="34" spans="2:2" ht="36" customHeight="1" x14ac:dyDescent="0.35">
      <c r="B34" s="62" t="s">
        <v>101</v>
      </c>
    </row>
    <row r="35" spans="2:2" ht="18" customHeight="1" x14ac:dyDescent="0.35"/>
    <row r="36" spans="2:2" ht="20" customHeight="1" x14ac:dyDescent="0.35">
      <c r="B36" s="68" t="s">
        <v>141</v>
      </c>
    </row>
    <row r="37" spans="2:2" ht="6" customHeight="1" x14ac:dyDescent="0.35"/>
    <row r="38" spans="2:2" ht="22" customHeight="1" x14ac:dyDescent="0.35">
      <c r="B38" s="64" t="s">
        <v>140</v>
      </c>
    </row>
    <row r="39" spans="2:2" ht="14" customHeight="1" x14ac:dyDescent="0.35">
      <c r="B39" s="24" t="s">
        <v>103</v>
      </c>
    </row>
    <row r="40" spans="2:2" ht="16" customHeight="1" x14ac:dyDescent="0.35">
      <c r="B40" s="65" t="s">
        <v>114</v>
      </c>
    </row>
    <row r="41" spans="2:2" ht="22" customHeight="1" x14ac:dyDescent="0.4">
      <c r="B41" s="27" t="s">
        <v>102</v>
      </c>
    </row>
  </sheetData>
  <mergeCells count="2">
    <mergeCell ref="B2:L2"/>
    <mergeCell ref="B12: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 Pages at a glance </vt:lpstr>
      <vt:lpstr>Excel Financial Analysis Portfo</vt:lpstr>
      <vt:lpstr>Certificates </vt:lpstr>
      <vt:lpstr>Professional Cover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MOSLEH UDDIN</dc:creator>
  <cp:lastModifiedBy>MOHAMMAD MOSLEH UDDIN</cp:lastModifiedBy>
  <dcterms:created xsi:type="dcterms:W3CDTF">2026-06-19T09:53:00Z</dcterms:created>
  <dcterms:modified xsi:type="dcterms:W3CDTF">2026-06-19T21:36:27Z</dcterms:modified>
</cp:coreProperties>
</file>